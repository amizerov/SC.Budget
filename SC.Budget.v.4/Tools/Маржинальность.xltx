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Projects\Sergey\SwissClean\SC.Budget\SC.Budget.v.4\Tools\"/>
    </mc:Choice>
  </mc:AlternateContent>
  <bookViews>
    <workbookView xWindow="0" yWindow="0" windowWidth="28800" windowHeight="14100" autoFilterDateGrouping="0"/>
  </bookViews>
  <sheets>
    <sheet name="Январь" sheetId="13" r:id="rId1"/>
  </sheets>
  <definedNames>
    <definedName name="_xlnm._FilterDatabase" localSheetId="0" hidden="1">Январь!$A$4:$Y$7</definedName>
  </definedNames>
  <calcPr calcId="162913"/>
</workbook>
</file>

<file path=xl/calcChain.xml><?xml version="1.0" encoding="utf-8"?>
<calcChain xmlns="http://schemas.openxmlformats.org/spreadsheetml/2006/main">
  <c r="U7" i="13" l="1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V6" i="13" l="1"/>
  <c r="V7" i="13" s="1"/>
  <c r="W6" i="13"/>
  <c r="W7" i="13" s="1"/>
  <c r="X6" i="13" l="1"/>
  <c r="Y6" i="13" l="1"/>
  <c r="Y7" i="13" s="1"/>
  <c r="X7" i="13"/>
</calcChain>
</file>

<file path=xl/sharedStrings.xml><?xml version="1.0" encoding="utf-8"?>
<sst xmlns="http://schemas.openxmlformats.org/spreadsheetml/2006/main" count="32" uniqueCount="15">
  <si>
    <t>Оплачено</t>
  </si>
  <si>
    <t>Остаток</t>
  </si>
  <si>
    <t>Выставленные счета</t>
  </si>
  <si>
    <t>Зарплата</t>
  </si>
  <si>
    <t>Начислено</t>
  </si>
  <si>
    <t>%</t>
  </si>
  <si>
    <t>Июль</t>
  </si>
  <si>
    <t>Налоги и взносы на официальную зарплату</t>
  </si>
  <si>
    <t>Расход</t>
  </si>
  <si>
    <t>Доход</t>
  </si>
  <si>
    <t>Разница</t>
  </si>
  <si>
    <t>НДС</t>
  </si>
  <si>
    <t>Налог на прибыль</t>
  </si>
  <si>
    <t>вх сальдо</t>
  </si>
  <si>
    <t>Расходы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</si>
</sst>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6" borderId="1" xfId="0" applyFill="1" applyBorder="1"/>
    <xf numFmtId="0" fontId="0" fillId="2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right" wrapText="1"/>
    </xf>
    <xf numFmtId="164" fontId="2" fillId="4" borderId="1" xfId="0" applyNumberFormat="1" applyFont="1" applyFill="1" applyBorder="1" applyAlignment="1">
      <alignment horizontal="right" wrapText="1"/>
    </xf>
    <xf numFmtId="164" fontId="1" fillId="3" borderId="1" xfId="0" applyNumberFormat="1" applyFont="1" applyFill="1" applyBorder="1" applyAlignment="1">
      <alignment horizontal="right" wrapText="1"/>
    </xf>
    <xf numFmtId="164" fontId="1" fillId="2" borderId="1" xfId="0" applyNumberFormat="1" applyFont="1" applyFill="1" applyBorder="1" applyAlignment="1">
      <alignment horizontal="right" wrapText="1"/>
    </xf>
    <xf numFmtId="164" fontId="1" fillId="5" borderId="1" xfId="0" applyNumberFormat="1" applyFont="1" applyFill="1" applyBorder="1" applyAlignment="1">
      <alignment horizontal="right" wrapText="1"/>
    </xf>
    <xf numFmtId="164" fontId="1" fillId="2" borderId="1" xfId="0" applyNumberFormat="1" applyFont="1" applyFill="1" applyBorder="1" applyAlignment="1">
      <alignment horizontal="right"/>
    </xf>
    <xf numFmtId="164" fontId="2" fillId="2" borderId="1" xfId="0" applyNumberFormat="1" applyFont="1" applyFill="1" applyBorder="1" applyAlignment="1">
      <alignment horizontal="right" wrapText="1"/>
    </xf>
    <xf numFmtId="164" fontId="2" fillId="5" borderId="1" xfId="0" applyNumberFormat="1" applyFont="1" applyFill="1" applyBorder="1" applyAlignment="1">
      <alignment horizontal="right" wrapText="1"/>
    </xf>
    <xf numFmtId="0" fontId="0" fillId="7" borderId="1" xfId="0" applyFill="1" applyBorder="1"/>
    <xf numFmtId="164" fontId="3" fillId="7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Border="1" applyAlignment="1">
      <alignment horizontal="right"/>
    </xf>
    <xf numFmtId="164" fontId="0" fillId="4" borderId="1" xfId="0" applyNumberFormat="1" applyFill="1" applyBorder="1" applyAlignment="1">
      <alignment horizontal="center" wrapText="1"/>
    </xf>
    <xf numFmtId="164" fontId="0" fillId="3" borderId="1" xfId="0" applyNumberFormat="1" applyFill="1" applyBorder="1" applyAlignment="1">
      <alignment horizontal="center" wrapText="1"/>
    </xf>
    <xf numFmtId="164" fontId="0" fillId="2" borderId="1" xfId="0" applyNumberFormat="1" applyFill="1" applyBorder="1" applyAlignment="1">
      <alignment horizontal="center" wrapText="1"/>
    </xf>
    <xf numFmtId="164" fontId="0" fillId="5" borderId="1" xfId="0" applyNumberFormat="1" applyFill="1" applyBorder="1" applyAlignment="1">
      <alignment horizontal="center" wrapText="1"/>
    </xf>
    <xf numFmtId="164" fontId="0" fillId="0" borderId="1" xfId="0" applyNumberFormat="1" applyFill="1" applyBorder="1" applyAlignment="1">
      <alignment horizontal="center" wrapText="1"/>
    </xf>
    <xf numFmtId="164" fontId="0" fillId="8" borderId="1" xfId="0" applyNumberFormat="1" applyFill="1" applyBorder="1" applyAlignment="1">
      <alignment horizontal="center" wrapText="1"/>
    </xf>
    <xf numFmtId="164" fontId="2" fillId="8" borderId="1" xfId="0" applyNumberFormat="1" applyFont="1" applyFill="1" applyBorder="1" applyAlignment="1">
      <alignment horizontal="right" wrapText="1"/>
    </xf>
    <xf numFmtId="164" fontId="0" fillId="9" borderId="1" xfId="0" applyNumberFormat="1" applyFill="1" applyBorder="1" applyAlignment="1">
      <alignment horizontal="center" wrapText="1"/>
    </xf>
    <xf numFmtId="164" fontId="1" fillId="9" borderId="1" xfId="0" applyNumberFormat="1" applyFont="1" applyFill="1" applyBorder="1" applyAlignment="1">
      <alignment horizontal="right"/>
    </xf>
    <xf numFmtId="164" fontId="2" fillId="9" borderId="1" xfId="0" applyNumberFormat="1" applyFont="1" applyFill="1" applyBorder="1" applyAlignment="1">
      <alignment horizontal="right"/>
    </xf>
    <xf numFmtId="164" fontId="1" fillId="8" borderId="1" xfId="0" applyNumberFormat="1" applyFont="1" applyFill="1" applyBorder="1" applyAlignment="1">
      <alignment horizontal="right" wrapText="1"/>
    </xf>
    <xf numFmtId="164" fontId="1" fillId="9" borderId="1" xfId="0" applyNumberFormat="1" applyFont="1" applyFill="1" applyBorder="1" applyAlignment="1">
      <alignment horizontal="right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0" xfId="0" applyNumberFormat="1"/>
    <xf numFmtId="0" fontId="0" fillId="9" borderId="2" xfId="0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9"/>
  <sheetViews>
    <sheetView tabSelected="1" topLeftCell="A2" zoomScale="90" zoomScaleNormal="90" workbookViewId="0">
      <selection activeCell="E4" sqref="E4"/>
    </sheetView>
  </sheetViews>
  <sheetFormatPr defaultRowHeight="14.4" x14ac:dyDescent="0.3"/>
  <cols>
    <col min="1" max="1" width="36.6640625" bestFit="1" customWidth="1"/>
    <col min="2" max="3" width="17.33203125" bestFit="1" customWidth="1"/>
    <col min="4" max="4" width="16.33203125" bestFit="1" customWidth="1"/>
    <col min="5" max="5" width="15.5546875" bestFit="1" customWidth="1"/>
    <col min="6" max="6" width="14.6640625" bestFit="1" customWidth="1"/>
    <col min="7" max="7" width="14.5546875" customWidth="1"/>
    <col min="8" max="10" width="17.33203125" bestFit="1" customWidth="1"/>
    <col min="11" max="11" width="15.5546875" bestFit="1" customWidth="1"/>
    <col min="12" max="12" width="10.33203125" customWidth="1"/>
    <col min="13" max="13" width="11.6640625" customWidth="1"/>
    <col min="14" max="14" width="15.88671875" hidden="1" customWidth="1"/>
    <col min="15" max="15" width="11.6640625" hidden="1" customWidth="1"/>
    <col min="16" max="16" width="16" hidden="1" customWidth="1"/>
    <col min="17" max="17" width="11.6640625" hidden="1" customWidth="1"/>
    <col min="18" max="18" width="14.88671875" bestFit="1" customWidth="1"/>
    <col min="19" max="19" width="17" bestFit="1" customWidth="1"/>
    <col min="20" max="22" width="16" bestFit="1" customWidth="1"/>
    <col min="23" max="23" width="17.33203125" bestFit="1" customWidth="1"/>
    <col min="24" max="24" width="16" bestFit="1" customWidth="1"/>
    <col min="25" max="25" width="14.88671875" bestFit="1" customWidth="1"/>
  </cols>
  <sheetData>
    <row r="1" spans="1:25" ht="15" hidden="1" customHeight="1" x14ac:dyDescent="0.3">
      <c r="A1" t="s">
        <v>6</v>
      </c>
    </row>
    <row r="3" spans="1:25" ht="30.75" customHeight="1" x14ac:dyDescent="0.3">
      <c r="A3" s="1"/>
      <c r="B3" s="31" t="s">
        <v>2</v>
      </c>
      <c r="C3" s="31"/>
      <c r="D3" s="31"/>
      <c r="E3" s="32" t="s">
        <v>14</v>
      </c>
      <c r="F3" s="32"/>
      <c r="G3" s="32"/>
      <c r="H3" s="33" t="s">
        <v>3</v>
      </c>
      <c r="I3" s="33"/>
      <c r="J3" s="33"/>
      <c r="K3" s="34" t="s">
        <v>7</v>
      </c>
      <c r="L3" s="34"/>
      <c r="M3" s="34"/>
      <c r="N3" s="35" t="s">
        <v>12</v>
      </c>
      <c r="O3" s="36"/>
      <c r="P3" s="36"/>
      <c r="Q3" s="37"/>
      <c r="R3" s="29" t="s">
        <v>11</v>
      </c>
      <c r="S3" s="30"/>
      <c r="T3" s="30"/>
      <c r="U3" s="30"/>
      <c r="V3" s="2" t="s">
        <v>5</v>
      </c>
      <c r="W3" s="2"/>
      <c r="X3" s="26"/>
      <c r="Y3" s="27"/>
    </row>
    <row r="4" spans="1:25" ht="32.25" customHeight="1" x14ac:dyDescent="0.3">
      <c r="A4" s="1"/>
      <c r="B4" s="14" t="s">
        <v>4</v>
      </c>
      <c r="C4" s="14" t="s">
        <v>0</v>
      </c>
      <c r="D4" s="14" t="s">
        <v>1</v>
      </c>
      <c r="E4" s="15" t="s">
        <v>4</v>
      </c>
      <c r="F4" s="15" t="s">
        <v>0</v>
      </c>
      <c r="G4" s="15" t="s">
        <v>1</v>
      </c>
      <c r="H4" s="16" t="s">
        <v>4</v>
      </c>
      <c r="I4" s="16" t="s">
        <v>0</v>
      </c>
      <c r="J4" s="16" t="s">
        <v>1</v>
      </c>
      <c r="K4" s="17" t="s">
        <v>4</v>
      </c>
      <c r="L4" s="17" t="s">
        <v>0</v>
      </c>
      <c r="M4" s="17" t="s">
        <v>1</v>
      </c>
      <c r="N4" s="19" t="s">
        <v>13</v>
      </c>
      <c r="O4" s="19" t="s">
        <v>4</v>
      </c>
      <c r="P4" s="19" t="s">
        <v>0</v>
      </c>
      <c r="Q4" s="19" t="s">
        <v>1</v>
      </c>
      <c r="R4" s="21" t="s">
        <v>13</v>
      </c>
      <c r="S4" s="21" t="s">
        <v>4</v>
      </c>
      <c r="T4" s="21" t="s">
        <v>0</v>
      </c>
      <c r="U4" s="21" t="s">
        <v>1</v>
      </c>
      <c r="V4" s="16" t="s">
        <v>4</v>
      </c>
      <c r="W4" s="18" t="s">
        <v>9</v>
      </c>
      <c r="X4" s="18" t="s">
        <v>8</v>
      </c>
      <c r="Y4" s="18" t="s">
        <v>10</v>
      </c>
    </row>
    <row r="5" spans="1:25" ht="20.100000000000001" customHeight="1" x14ac:dyDescent="0.3">
      <c r="A5" s="1"/>
      <c r="B5" s="14"/>
      <c r="C5" s="14"/>
      <c r="D5" s="14"/>
      <c r="E5" s="15"/>
      <c r="F5" s="15"/>
      <c r="G5" s="15"/>
      <c r="H5" s="16"/>
      <c r="I5" s="16"/>
      <c r="J5" s="16"/>
      <c r="K5" s="17"/>
      <c r="L5" s="17"/>
      <c r="M5" s="17"/>
      <c r="N5" s="19"/>
      <c r="O5" s="19"/>
      <c r="P5" s="19"/>
      <c r="Q5" s="19"/>
      <c r="R5" s="21"/>
      <c r="S5" s="21"/>
      <c r="T5" s="21"/>
      <c r="U5" s="21"/>
      <c r="V5" s="16"/>
      <c r="W5" s="18"/>
      <c r="X5" s="18"/>
      <c r="Y5" s="18"/>
    </row>
    <row r="6" spans="1:25" ht="20.100000000000001" customHeight="1" x14ac:dyDescent="0.3">
      <c r="A6" s="1"/>
      <c r="B6" s="3"/>
      <c r="C6" s="3"/>
      <c r="D6" s="4"/>
      <c r="E6" s="5"/>
      <c r="F6" s="5"/>
      <c r="G6" s="5"/>
      <c r="H6" s="6"/>
      <c r="I6" s="6"/>
      <c r="J6" s="9"/>
      <c r="K6" s="7"/>
      <c r="L6" s="7"/>
      <c r="M6" s="10"/>
      <c r="N6" s="24"/>
      <c r="O6" s="24"/>
      <c r="P6" s="24"/>
      <c r="Q6" s="20"/>
      <c r="R6" s="25"/>
      <c r="S6" s="22"/>
      <c r="T6" s="22"/>
      <c r="U6" s="23"/>
      <c r="V6" s="8">
        <f>H6*20%</f>
        <v>0</v>
      </c>
      <c r="W6" s="13">
        <f>B6</f>
        <v>0</v>
      </c>
      <c r="X6" s="13" t="e">
        <f>E6+#REF!+H6+K6+T6+V6</f>
        <v>#REF!</v>
      </c>
      <c r="Y6" s="13" t="e">
        <f t="shared" ref="Y6" si="0">W6-X6</f>
        <v>#REF!</v>
      </c>
    </row>
    <row r="7" spans="1:25" ht="43.5" customHeight="1" x14ac:dyDescent="0.3">
      <c r="A7" s="11"/>
      <c r="B7" s="12">
        <f>SUM(B5:B6)</f>
        <v>0</v>
      </c>
      <c r="C7" s="12">
        <f t="shared" ref="C7:Y7" si="1">SUM(C5:C6)</f>
        <v>0</v>
      </c>
      <c r="D7" s="12">
        <f t="shared" si="1"/>
        <v>0</v>
      </c>
      <c r="E7" s="12">
        <f t="shared" si="1"/>
        <v>0</v>
      </c>
      <c r="F7" s="12">
        <f t="shared" si="1"/>
        <v>0</v>
      </c>
      <c r="G7" s="12">
        <f t="shared" si="1"/>
        <v>0</v>
      </c>
      <c r="H7" s="12">
        <f t="shared" si="1"/>
        <v>0</v>
      </c>
      <c r="I7" s="12">
        <f t="shared" si="1"/>
        <v>0</v>
      </c>
      <c r="J7" s="12">
        <f t="shared" si="1"/>
        <v>0</v>
      </c>
      <c r="K7" s="12">
        <f t="shared" si="1"/>
        <v>0</v>
      </c>
      <c r="L7" s="12">
        <f t="shared" si="1"/>
        <v>0</v>
      </c>
      <c r="M7" s="12">
        <f t="shared" si="1"/>
        <v>0</v>
      </c>
      <c r="N7" s="12">
        <f t="shared" si="1"/>
        <v>0</v>
      </c>
      <c r="O7" s="12">
        <f t="shared" si="1"/>
        <v>0</v>
      </c>
      <c r="P7" s="12">
        <f t="shared" si="1"/>
        <v>0</v>
      </c>
      <c r="Q7" s="12">
        <f t="shared" si="1"/>
        <v>0</v>
      </c>
      <c r="R7" s="12">
        <f t="shared" si="1"/>
        <v>0</v>
      </c>
      <c r="S7" s="12">
        <f t="shared" si="1"/>
        <v>0</v>
      </c>
      <c r="T7" s="12">
        <f t="shared" si="1"/>
        <v>0</v>
      </c>
      <c r="U7" s="12">
        <f t="shared" si="1"/>
        <v>0</v>
      </c>
      <c r="V7" s="12">
        <f t="shared" si="1"/>
        <v>0</v>
      </c>
      <c r="W7" s="12">
        <f t="shared" si="1"/>
        <v>0</v>
      </c>
      <c r="X7" s="12" t="e">
        <f t="shared" si="1"/>
        <v>#REF!</v>
      </c>
      <c r="Y7" s="12" t="e">
        <f t="shared" si="1"/>
        <v>#REF!</v>
      </c>
    </row>
    <row r="9" spans="1:25" x14ac:dyDescent="0.3">
      <c r="G9" s="28"/>
    </row>
  </sheetData>
  <autoFilter ref="A4:Y7">
    <sortState ref="A5:Y26">
      <sortCondition ref="A4"/>
    </sortState>
  </autoFilter>
  <mergeCells count="6">
    <mergeCell ref="R3:U3"/>
    <mergeCell ref="B3:D3"/>
    <mergeCell ref="E3:G3"/>
    <mergeCell ref="H3:J3"/>
    <mergeCell ref="K3:M3"/>
    <mergeCell ref="N3:Q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Январь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</dc:creator>
  <cp:lastModifiedBy>Sergey</cp:lastModifiedBy>
  <cp:lastPrinted>2019-08-23T11:34:59Z</cp:lastPrinted>
  <dcterms:created xsi:type="dcterms:W3CDTF">2019-08-22T09:59:51Z</dcterms:created>
  <dcterms:modified xsi:type="dcterms:W3CDTF">2019-12-15T11:49:19Z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18.2.7.0</vt:lpwstr>
  </property>
</Properties>
</file>